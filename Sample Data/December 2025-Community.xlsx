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rust1.shk.nhs.uk\home\thomas.bennett3\Career\Python\Community Div Packs\Sample Data\"/>
    </mc:Choice>
  </mc:AlternateContent>
  <xr:revisionPtr revIDLastSave="0" documentId="13_ncr:1_{CCE22282-B80C-43A9-9119-22C56CB9420C}" xr6:coauthVersionLast="47" xr6:coauthVersionMax="47" xr10:uidLastSave="{00000000-0000-0000-0000-000000000000}"/>
  <bookViews>
    <workbookView xWindow="28680" yWindow="-120" windowWidth="29040" windowHeight="16440" xr2:uid="{DE780F73-7309-487A-B2A0-2468ACD7BF33}"/>
  </bookViews>
  <sheets>
    <sheet name="Sheet1" sheetId="1" r:id="rId1"/>
    <sheet name="Indicator Name" sheetId="4" r:id="rId2"/>
    <sheet name="Sources" sheetId="3" r:id="rId3"/>
    <sheet name="Specialties" sheetId="2" r:id="rId4"/>
  </sheets>
  <definedNames>
    <definedName name="_xlnm._FilterDatabase" localSheetId="0" hidden="1">Sheet1!$A$1:$L$27</definedName>
    <definedName name="_xlnm._FilterDatabase" localSheetId="3" hidden="1">Specialties!$A$1:$A$11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<sst xmlns="http://schemas.openxmlformats.org/spreadsheetml/2006/main" count="210" uniqueCount="58">
  <si>
    <t>ID</t>
  </si>
  <si>
    <t>UIID</t>
  </si>
  <si>
    <t>IndicatorID</t>
  </si>
  <si>
    <t>IndicatorName</t>
  </si>
  <si>
    <t>Period</t>
  </si>
  <si>
    <t>Date</t>
  </si>
  <si>
    <t>DataValue</t>
  </si>
  <si>
    <t>DataValue2</t>
  </si>
  <si>
    <t>DataValueOther</t>
  </si>
  <si>
    <t>Speciality</t>
  </si>
  <si>
    <t>Source</t>
  </si>
  <si>
    <t>Category</t>
  </si>
  <si>
    <t>Total attendances</t>
  </si>
  <si>
    <t>Month</t>
  </si>
  <si>
    <t>NULL</t>
  </si>
  <si>
    <t>UTC</t>
  </si>
  <si>
    <t>MWL</t>
  </si>
  <si>
    <t>Percentage of patients triaged within 15 minutes</t>
  </si>
  <si>
    <t>Percentage of patients triaged, seen and discharges within 2 hours</t>
  </si>
  <si>
    <t>% of same day appointments booked as a % of all appointments</t>
  </si>
  <si>
    <t>Marshalls Cross</t>
  </si>
  <si>
    <t>Primary Care</t>
  </si>
  <si>
    <t>Percentage of calls handled as a % of all calls</t>
  </si>
  <si>
    <t>Longest wait Doppler</t>
  </si>
  <si>
    <t>Treatment Rooms</t>
  </si>
  <si>
    <t>Community Nursing</t>
  </si>
  <si>
    <t>Longest wait Ear Irrigation</t>
  </si>
  <si>
    <t>Longest wait Injections</t>
  </si>
  <si>
    <t>Longest wait Healthy Legs</t>
  </si>
  <si>
    <t>Longest wait Removal of Sutres / Clips</t>
  </si>
  <si>
    <t>Longest wait Wound Care</t>
  </si>
  <si>
    <t>Percentage of end of life (EOL) patients who died in their preferred place of care</t>
  </si>
  <si>
    <t>District Nursing</t>
  </si>
  <si>
    <t>Number of face to face care interventions</t>
  </si>
  <si>
    <t>Total ED attendances avoided</t>
  </si>
  <si>
    <t>% of patients achieving NICE guidance four pillars via discharge checklist</t>
  </si>
  <si>
    <t>Average no.of days from 'fit to transfer' to admission to NWRSIC</t>
  </si>
  <si>
    <t>Spinal</t>
  </si>
  <si>
    <t>Percentage of patients with an improved SCIM score on discharge</t>
  </si>
  <si>
    <t>Number of DNLO referrals facilitated</t>
  </si>
  <si>
    <t>Contact Cares</t>
  </si>
  <si>
    <t>Number of EOL POC and equipment referrals facilitated</t>
  </si>
  <si>
    <t>Number of St Helens Trusted assessor assessments</t>
  </si>
  <si>
    <t>All</t>
  </si>
  <si>
    <t>Heart Failure</t>
  </si>
  <si>
    <t>% of new patients offered a HIV test - St Helens</t>
  </si>
  <si>
    <t>Total number of Inpatient bed days saved</t>
  </si>
  <si>
    <t>Total number of successful admission avoidance</t>
  </si>
  <si>
    <t>Total number of successful Early discharges</t>
  </si>
  <si>
    <t>Sexual Health</t>
  </si>
  <si>
    <t>IV Therapy</t>
  </si>
  <si>
    <t>% of new patients offered a HIV test - Sefton</t>
  </si>
  <si>
    <t>Number of referrals seen within 72 hours of referral</t>
  </si>
  <si>
    <t>% of new patients seen within 2 weeks of receipt of referral</t>
  </si>
  <si>
    <t>Longest wait Cathether Care</t>
  </si>
  <si>
    <t>Number of security/safety incidents affecting staff</t>
  </si>
  <si>
    <t>Adult Continence</t>
  </si>
  <si>
    <t>% of high priority patients receiving advice/treatment within 1 working day of 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</si>
</sst>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4" fillId="2" borderId="6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3" fillId="0" borderId="3" xfId="0" applyFont="1" applyBorder="1"/>
    <xf numFmtId="0" fontId="2" fillId="0" borderId="11" xfId="0" applyFont="1" applyBorder="1"/>
    <xf numFmtId="0" fontId="3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wrapText="1"/>
    </xf>
    <xf numFmtId="14" fontId="2" fillId="0" borderId="8" xfId="0" applyNumberFormat="1" applyFont="1" applyBorder="1"/>
    <xf numFmtId="0" fontId="2" fillId="0" borderId="9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3" fillId="0" borderId="15" xfId="0" applyFont="1" applyBorder="1"/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B98A-7F09-42C5-B55D-9292B0752347}">
  <dimension ref="A1:L27"/>
  <sheetViews>
    <sheetView tabSelected="1" zoomScale="90" zoomScaleNormal="90" workbookViewId="0">
      <selection activeCell="H2" sqref="H2:H27"/>
    </sheetView>
  </sheetViews>
  <sheetFormatPr defaultColWidth="9.140625" defaultRowHeight="15" x14ac:dyDescent="0.25"/>
  <cols>
    <col min="1" max="1" width="20.85546875" customWidth="1"/>
    <col min="2" max="2" width="4.85546875" bestFit="1" customWidth="1"/>
    <col min="3" max="3" width="11" bestFit="1" customWidth="1"/>
    <col min="4" max="4" width="69.7109375" customWidth="1"/>
    <col min="5" max="5" width="6.85546875" bestFit="1" customWidth="1"/>
    <col min="6" max="6" width="11.28515625" bestFit="1" customWidth="1"/>
    <col min="7" max="7" width="10.140625" bestFit="1" customWidth="1"/>
    <col min="8" max="8" width="11.140625" bestFit="1" customWidth="1"/>
    <col min="9" max="9" width="15.42578125" bestFit="1" customWidth="1"/>
    <col min="10" max="10" width="22.85546875" bestFit="1" customWidth="1"/>
    <col min="11" max="11" width="7.28515625" bestFit="1" customWidth="1"/>
    <col min="12" max="12" width="18.7109375" bestFit="1" customWidth="1"/>
  </cols>
  <sheetData>
    <row r="1" spans="1:1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ht="30.75" thickBot="1" x14ac:dyDescent="0.3">
      <c r="A2" s="15"/>
      <c r="B2" s="16"/>
      <c r="C2" s="16"/>
      <c r="D2" s="17" t="s">
        <v>57</v>
      </c>
      <c r="E2" s="16" t="s">
        <v>13</v>
      </c>
      <c r="F2" s="18">
        <v>45992</v>
      </c>
      <c r="G2" s="17">
        <f ca="1">RANDBETWEEN(0,1000)</f>
        <v>916</v>
      </c>
      <c r="H2" s="17">
        <f t="shared" ref="H2:H27" ca="1" si="0">RANDBETWEEN(0,1000)</f>
        <v>580</v>
      </c>
      <c r="I2" s="16" t="s">
        <v>14</v>
      </c>
      <c r="J2" s="19" t="s">
        <v>56</v>
      </c>
      <c r="K2" s="20" t="s">
        <v>16</v>
      </c>
      <c r="L2" s="21" t="s">
        <v>25</v>
      </c>
    </row>
    <row r="3" spans="1:12" ht="15.75" thickBot="1" x14ac:dyDescent="0.3">
      <c r="A3" s="13"/>
      <c r="B3" s="9"/>
      <c r="C3" s="9"/>
      <c r="D3" s="10" t="s">
        <v>51</v>
      </c>
      <c r="E3" s="9" t="s">
        <v>13</v>
      </c>
      <c r="F3" s="18">
        <v>45992</v>
      </c>
      <c r="G3" s="17">
        <f t="shared" ref="G3:G27" ca="1" si="1">RANDBETWEEN(0,1000)</f>
        <v>992</v>
      </c>
      <c r="H3" s="17">
        <f t="shared" ca="1" si="0"/>
        <v>623</v>
      </c>
      <c r="I3" s="9" t="s">
        <v>14</v>
      </c>
      <c r="J3" s="11" t="s">
        <v>49</v>
      </c>
      <c r="K3" s="12" t="s">
        <v>16</v>
      </c>
      <c r="L3" s="14" t="s">
        <v>49</v>
      </c>
    </row>
    <row r="4" spans="1:12" ht="15.75" thickBot="1" x14ac:dyDescent="0.3">
      <c r="A4" s="13"/>
      <c r="B4" s="9"/>
      <c r="C4" s="9"/>
      <c r="D4" s="10" t="s">
        <v>45</v>
      </c>
      <c r="E4" s="9" t="s">
        <v>13</v>
      </c>
      <c r="F4" s="18">
        <v>45992</v>
      </c>
      <c r="G4" s="17">
        <f t="shared" ca="1" si="1"/>
        <v>777</v>
      </c>
      <c r="H4" s="17">
        <f t="shared" ca="1" si="0"/>
        <v>228</v>
      </c>
      <c r="I4" s="9" t="s">
        <v>14</v>
      </c>
      <c r="J4" s="11" t="s">
        <v>49</v>
      </c>
      <c r="K4" s="12" t="s">
        <v>16</v>
      </c>
      <c r="L4" s="14" t="s">
        <v>49</v>
      </c>
    </row>
    <row r="5" spans="1:12" ht="15.75" thickBot="1" x14ac:dyDescent="0.3">
      <c r="A5" s="15"/>
      <c r="B5" s="16"/>
      <c r="C5" s="16"/>
      <c r="D5" s="17" t="s">
        <v>53</v>
      </c>
      <c r="E5" s="16" t="s">
        <v>13</v>
      </c>
      <c r="F5" s="18">
        <v>45992</v>
      </c>
      <c r="G5" s="17">
        <f t="shared" ca="1" si="1"/>
        <v>818</v>
      </c>
      <c r="H5" s="17">
        <f t="shared" ca="1" si="0"/>
        <v>525</v>
      </c>
      <c r="I5" s="16" t="s">
        <v>14</v>
      </c>
      <c r="J5" s="19" t="s">
        <v>44</v>
      </c>
      <c r="K5" s="20" t="s">
        <v>16</v>
      </c>
      <c r="L5" s="21" t="s">
        <v>25</v>
      </c>
    </row>
    <row r="6" spans="1:12" ht="15.75" thickBot="1" x14ac:dyDescent="0.3">
      <c r="A6" s="13"/>
      <c r="B6" s="9"/>
      <c r="C6" s="9"/>
      <c r="D6" s="10" t="s">
        <v>35</v>
      </c>
      <c r="E6" s="9" t="s">
        <v>13</v>
      </c>
      <c r="F6" s="18">
        <v>45992</v>
      </c>
      <c r="G6" s="17">
        <f t="shared" ca="1" si="1"/>
        <v>444</v>
      </c>
      <c r="H6" s="17">
        <f t="shared" ca="1" si="0"/>
        <v>942</v>
      </c>
      <c r="I6" s="9" t="s">
        <v>14</v>
      </c>
      <c r="J6" s="11" t="s">
        <v>44</v>
      </c>
      <c r="K6" s="12" t="s">
        <v>16</v>
      </c>
      <c r="L6" s="14" t="s">
        <v>25</v>
      </c>
    </row>
    <row r="7" spans="1:12" ht="15.75" thickBot="1" x14ac:dyDescent="0.3">
      <c r="A7" s="13"/>
      <c r="B7" s="9"/>
      <c r="C7" s="9"/>
      <c r="D7" s="10" t="s">
        <v>19</v>
      </c>
      <c r="E7" s="9" t="s">
        <v>13</v>
      </c>
      <c r="F7" s="18">
        <v>45992</v>
      </c>
      <c r="G7" s="17">
        <f t="shared" ca="1" si="1"/>
        <v>840</v>
      </c>
      <c r="H7" s="17">
        <f t="shared" ca="1" si="0"/>
        <v>29</v>
      </c>
      <c r="I7" s="9" t="s">
        <v>14</v>
      </c>
      <c r="J7" s="11" t="s">
        <v>20</v>
      </c>
      <c r="K7" s="12" t="s">
        <v>16</v>
      </c>
      <c r="L7" s="14" t="s">
        <v>21</v>
      </c>
    </row>
    <row r="8" spans="1:12" ht="15.75" thickBot="1" x14ac:dyDescent="0.3">
      <c r="A8" s="15"/>
      <c r="B8" s="16"/>
      <c r="C8" s="16"/>
      <c r="D8" s="17" t="s">
        <v>36</v>
      </c>
      <c r="E8" s="16" t="s">
        <v>13</v>
      </c>
      <c r="F8" s="18">
        <v>45992</v>
      </c>
      <c r="G8" s="17">
        <f t="shared" ca="1" si="1"/>
        <v>869</v>
      </c>
      <c r="H8" s="17">
        <f t="shared" ca="1" si="0"/>
        <v>315</v>
      </c>
      <c r="I8" s="16" t="s">
        <v>14</v>
      </c>
      <c r="J8" s="19" t="s">
        <v>37</v>
      </c>
      <c r="K8" s="20" t="s">
        <v>16</v>
      </c>
      <c r="L8" s="21" t="s">
        <v>37</v>
      </c>
    </row>
    <row r="9" spans="1:12" ht="15.75" thickBot="1" x14ac:dyDescent="0.3">
      <c r="A9" s="15"/>
      <c r="B9" s="16"/>
      <c r="C9" s="16"/>
      <c r="D9" s="17" t="s">
        <v>26</v>
      </c>
      <c r="E9" s="16" t="s">
        <v>13</v>
      </c>
      <c r="F9" s="18">
        <v>45992</v>
      </c>
      <c r="G9" s="17">
        <f t="shared" ca="1" si="1"/>
        <v>198</v>
      </c>
      <c r="H9" s="17">
        <f t="shared" ca="1" si="0"/>
        <v>490</v>
      </c>
      <c r="I9" s="16" t="s">
        <v>14</v>
      </c>
      <c r="J9" s="19" t="s">
        <v>24</v>
      </c>
      <c r="K9" s="20" t="s">
        <v>16</v>
      </c>
      <c r="L9" s="21" t="s">
        <v>25</v>
      </c>
    </row>
    <row r="10" spans="1:12" ht="15.75" thickBot="1" x14ac:dyDescent="0.3">
      <c r="A10" s="13"/>
      <c r="B10" s="9"/>
      <c r="C10" s="9"/>
      <c r="D10" s="10" t="s">
        <v>28</v>
      </c>
      <c r="E10" s="9" t="s">
        <v>13</v>
      </c>
      <c r="F10" s="18">
        <v>45992</v>
      </c>
      <c r="G10" s="17">
        <f t="shared" ca="1" si="1"/>
        <v>981</v>
      </c>
      <c r="H10" s="17">
        <f t="shared" ca="1" si="0"/>
        <v>709</v>
      </c>
      <c r="I10" s="9" t="s">
        <v>14</v>
      </c>
      <c r="J10" s="11" t="s">
        <v>24</v>
      </c>
      <c r="K10" s="12" t="s">
        <v>16</v>
      </c>
      <c r="L10" s="14" t="s">
        <v>25</v>
      </c>
    </row>
    <row r="11" spans="1:12" ht="15.75" thickBot="1" x14ac:dyDescent="0.3">
      <c r="A11" s="13"/>
      <c r="B11" s="9"/>
      <c r="C11" s="9"/>
      <c r="D11" s="10" t="s">
        <v>30</v>
      </c>
      <c r="E11" s="9" t="s">
        <v>13</v>
      </c>
      <c r="F11" s="18">
        <v>45992</v>
      </c>
      <c r="G11" s="17">
        <f t="shared" ca="1" si="1"/>
        <v>170</v>
      </c>
      <c r="H11" s="17">
        <f t="shared" ca="1" si="0"/>
        <v>741</v>
      </c>
      <c r="I11" s="9" t="s">
        <v>14</v>
      </c>
      <c r="J11" s="11" t="s">
        <v>24</v>
      </c>
      <c r="K11" s="12" t="s">
        <v>16</v>
      </c>
      <c r="L11" s="14" t="s">
        <v>25</v>
      </c>
    </row>
    <row r="12" spans="1:12" ht="15.75" customHeight="1" thickBot="1" x14ac:dyDescent="0.3">
      <c r="A12" s="13"/>
      <c r="B12" s="9"/>
      <c r="C12" s="9"/>
      <c r="D12" s="10" t="s">
        <v>39</v>
      </c>
      <c r="E12" s="9" t="s">
        <v>13</v>
      </c>
      <c r="F12" s="18">
        <v>45992</v>
      </c>
      <c r="G12" s="17">
        <f t="shared" ca="1" si="1"/>
        <v>14</v>
      </c>
      <c r="H12" s="17">
        <f t="shared" ca="1" si="0"/>
        <v>738</v>
      </c>
      <c r="I12" s="9" t="s">
        <v>14</v>
      </c>
      <c r="J12" s="11" t="s">
        <v>40</v>
      </c>
      <c r="K12" s="12" t="s">
        <v>16</v>
      </c>
      <c r="L12" s="14" t="s">
        <v>21</v>
      </c>
    </row>
    <row r="13" spans="1:12" ht="15.75" thickBot="1" x14ac:dyDescent="0.3">
      <c r="A13" s="15"/>
      <c r="B13" s="16"/>
      <c r="C13" s="16"/>
      <c r="D13" s="17" t="s">
        <v>41</v>
      </c>
      <c r="E13" s="16" t="s">
        <v>13</v>
      </c>
      <c r="F13" s="18">
        <v>45992</v>
      </c>
      <c r="G13" s="17">
        <f t="shared" ca="1" si="1"/>
        <v>954</v>
      </c>
      <c r="H13" s="17">
        <f t="shared" ca="1" si="0"/>
        <v>766</v>
      </c>
      <c r="I13" s="16" t="s">
        <v>14</v>
      </c>
      <c r="J13" s="19" t="s">
        <v>40</v>
      </c>
      <c r="K13" s="20" t="s">
        <v>16</v>
      </c>
      <c r="L13" s="21" t="s">
        <v>21</v>
      </c>
    </row>
    <row r="14" spans="1:12" ht="15.75" thickBot="1" x14ac:dyDescent="0.3">
      <c r="A14" s="13"/>
      <c r="B14" s="9"/>
      <c r="C14" s="9"/>
      <c r="D14" s="10" t="s">
        <v>33</v>
      </c>
      <c r="E14" s="9" t="s">
        <v>13</v>
      </c>
      <c r="F14" s="18">
        <v>45992</v>
      </c>
      <c r="G14" s="17">
        <f t="shared" ca="1" si="1"/>
        <v>365</v>
      </c>
      <c r="H14" s="17">
        <f t="shared" ca="1" si="0"/>
        <v>958</v>
      </c>
      <c r="I14" s="9" t="s">
        <v>14</v>
      </c>
      <c r="J14" s="11" t="s">
        <v>32</v>
      </c>
      <c r="K14" s="12" t="s">
        <v>16</v>
      </c>
      <c r="L14" s="14" t="s">
        <v>25</v>
      </c>
    </row>
    <row r="15" spans="1:12" ht="15.75" thickBot="1" x14ac:dyDescent="0.3">
      <c r="A15" s="13"/>
      <c r="B15" s="9"/>
      <c r="C15" s="9"/>
      <c r="D15" s="10" t="s">
        <v>52</v>
      </c>
      <c r="E15" s="9" t="s">
        <v>13</v>
      </c>
      <c r="F15" s="18">
        <v>45992</v>
      </c>
      <c r="G15" s="17">
        <f t="shared" ca="1" si="1"/>
        <v>299</v>
      </c>
      <c r="H15" s="17">
        <f t="shared" ca="1" si="0"/>
        <v>106</v>
      </c>
      <c r="I15" s="9" t="s">
        <v>14</v>
      </c>
      <c r="J15" s="11" t="s">
        <v>32</v>
      </c>
      <c r="K15" s="12" t="s">
        <v>16</v>
      </c>
      <c r="L15" s="14" t="s">
        <v>25</v>
      </c>
    </row>
    <row r="16" spans="1:12" ht="15.75" thickBot="1" x14ac:dyDescent="0.3">
      <c r="A16" s="15"/>
      <c r="B16" s="16"/>
      <c r="C16" s="16"/>
      <c r="D16" s="17" t="s">
        <v>55</v>
      </c>
      <c r="E16" s="16" t="s">
        <v>13</v>
      </c>
      <c r="F16" s="18">
        <v>45992</v>
      </c>
      <c r="G16" s="17">
        <f t="shared" ca="1" si="1"/>
        <v>528</v>
      </c>
      <c r="H16" s="17">
        <f t="shared" ca="1" si="0"/>
        <v>485</v>
      </c>
      <c r="I16" s="16" t="s">
        <v>14</v>
      </c>
      <c r="J16" s="19" t="s">
        <v>43</v>
      </c>
      <c r="K16" s="20" t="s">
        <v>16</v>
      </c>
      <c r="L16" s="21" t="s">
        <v>43</v>
      </c>
    </row>
    <row r="17" spans="1:12" ht="15.75" thickBot="1" x14ac:dyDescent="0.3">
      <c r="A17" s="13"/>
      <c r="B17" s="9"/>
      <c r="C17" s="9"/>
      <c r="D17" s="10" t="s">
        <v>42</v>
      </c>
      <c r="E17" s="9" t="s">
        <v>13</v>
      </c>
      <c r="F17" s="18">
        <v>45992</v>
      </c>
      <c r="G17" s="17">
        <f t="shared" ca="1" si="1"/>
        <v>244</v>
      </c>
      <c r="H17" s="17">
        <f t="shared" ca="1" si="0"/>
        <v>448</v>
      </c>
      <c r="I17" s="9" t="s">
        <v>14</v>
      </c>
      <c r="J17" s="11" t="s">
        <v>40</v>
      </c>
      <c r="K17" s="12" t="s">
        <v>16</v>
      </c>
      <c r="L17" s="14" t="s">
        <v>21</v>
      </c>
    </row>
    <row r="18" spans="1:12" ht="15.75" thickBot="1" x14ac:dyDescent="0.3">
      <c r="A18" s="13"/>
      <c r="B18" s="9"/>
      <c r="C18" s="9"/>
      <c r="D18" s="10" t="s">
        <v>22</v>
      </c>
      <c r="E18" s="9" t="s">
        <v>13</v>
      </c>
      <c r="F18" s="18">
        <v>45992</v>
      </c>
      <c r="G18" s="17">
        <f t="shared" ca="1" si="1"/>
        <v>6</v>
      </c>
      <c r="H18" s="17">
        <f t="shared" ca="1" si="0"/>
        <v>323</v>
      </c>
      <c r="I18" s="9" t="s">
        <v>14</v>
      </c>
      <c r="J18" s="11" t="s">
        <v>20</v>
      </c>
      <c r="K18" s="12" t="s">
        <v>16</v>
      </c>
      <c r="L18" s="14" t="s">
        <v>21</v>
      </c>
    </row>
    <row r="19" spans="1:12" ht="30.75" thickBot="1" x14ac:dyDescent="0.3">
      <c r="A19" s="15"/>
      <c r="B19" s="16"/>
      <c r="C19" s="16"/>
      <c r="D19" s="17" t="s">
        <v>31</v>
      </c>
      <c r="E19" s="16" t="s">
        <v>13</v>
      </c>
      <c r="F19" s="18">
        <v>45992</v>
      </c>
      <c r="G19" s="17">
        <f t="shared" ca="1" si="1"/>
        <v>542</v>
      </c>
      <c r="H19" s="17">
        <f t="shared" ca="1" si="0"/>
        <v>715</v>
      </c>
      <c r="I19" s="16" t="s">
        <v>14</v>
      </c>
      <c r="J19" s="19" t="s">
        <v>32</v>
      </c>
      <c r="K19" s="20" t="s">
        <v>16</v>
      </c>
      <c r="L19" s="21" t="s">
        <v>25</v>
      </c>
    </row>
    <row r="20" spans="1:12" ht="15.75" thickBot="1" x14ac:dyDescent="0.3">
      <c r="A20" s="13"/>
      <c r="B20" s="9"/>
      <c r="C20" s="9"/>
      <c r="D20" s="10" t="s">
        <v>17</v>
      </c>
      <c r="E20" s="9" t="s">
        <v>13</v>
      </c>
      <c r="F20" s="18">
        <v>45992</v>
      </c>
      <c r="G20" s="17">
        <f t="shared" ca="1" si="1"/>
        <v>483</v>
      </c>
      <c r="H20" s="17">
        <f t="shared" ca="1" si="0"/>
        <v>527</v>
      </c>
      <c r="I20" s="9" t="s">
        <v>14</v>
      </c>
      <c r="J20" s="11" t="s">
        <v>15</v>
      </c>
      <c r="K20" s="12" t="s">
        <v>16</v>
      </c>
      <c r="L20" s="14" t="s">
        <v>15</v>
      </c>
    </row>
    <row r="21" spans="1:12" ht="15.75" thickBot="1" x14ac:dyDescent="0.3">
      <c r="A21" s="13"/>
      <c r="B21" s="9"/>
      <c r="C21" s="9"/>
      <c r="D21" s="10" t="s">
        <v>18</v>
      </c>
      <c r="E21" s="9" t="s">
        <v>13</v>
      </c>
      <c r="F21" s="18">
        <v>45992</v>
      </c>
      <c r="G21" s="17">
        <f t="shared" ca="1" si="1"/>
        <v>736</v>
      </c>
      <c r="H21" s="17">
        <f t="shared" ca="1" si="0"/>
        <v>241</v>
      </c>
      <c r="I21" s="9" t="s">
        <v>14</v>
      </c>
      <c r="J21" s="11" t="s">
        <v>15</v>
      </c>
      <c r="K21" s="12" t="s">
        <v>16</v>
      </c>
      <c r="L21" s="14" t="s">
        <v>15</v>
      </c>
    </row>
    <row r="22" spans="1:12" ht="15.75" thickBot="1" x14ac:dyDescent="0.3">
      <c r="A22" s="15"/>
      <c r="B22" s="16"/>
      <c r="C22" s="16"/>
      <c r="D22" s="17" t="s">
        <v>38</v>
      </c>
      <c r="E22" s="16" t="s">
        <v>13</v>
      </c>
      <c r="F22" s="18">
        <v>45992</v>
      </c>
      <c r="G22" s="17">
        <f t="shared" ca="1" si="1"/>
        <v>357</v>
      </c>
      <c r="H22" s="17">
        <f t="shared" ca="1" si="0"/>
        <v>569</v>
      </c>
      <c r="I22" s="16" t="s">
        <v>14</v>
      </c>
      <c r="J22" s="19" t="s">
        <v>37</v>
      </c>
      <c r="K22" s="20" t="s">
        <v>16</v>
      </c>
      <c r="L22" s="21" t="s">
        <v>37</v>
      </c>
    </row>
    <row r="23" spans="1:12" ht="15.75" thickBot="1" x14ac:dyDescent="0.3">
      <c r="A23" s="13"/>
      <c r="B23" s="9"/>
      <c r="C23" s="9"/>
      <c r="D23" s="10" t="s">
        <v>12</v>
      </c>
      <c r="E23" s="9" t="s">
        <v>13</v>
      </c>
      <c r="F23" s="18">
        <v>45992</v>
      </c>
      <c r="G23" s="17">
        <f t="shared" ca="1" si="1"/>
        <v>912</v>
      </c>
      <c r="H23" s="17">
        <f t="shared" ca="1" si="0"/>
        <v>676</v>
      </c>
      <c r="I23" s="9" t="s">
        <v>14</v>
      </c>
      <c r="J23" s="11" t="s">
        <v>15</v>
      </c>
      <c r="K23" s="12" t="s">
        <v>16</v>
      </c>
      <c r="L23" s="14" t="s">
        <v>15</v>
      </c>
    </row>
    <row r="24" spans="1:12" ht="15.75" thickBot="1" x14ac:dyDescent="0.3">
      <c r="A24" s="13"/>
      <c r="B24" s="9"/>
      <c r="C24" s="9"/>
      <c r="D24" s="10" t="s">
        <v>34</v>
      </c>
      <c r="E24" s="9" t="s">
        <v>13</v>
      </c>
      <c r="F24" s="18">
        <v>45992</v>
      </c>
      <c r="G24" s="17">
        <f t="shared" ca="1" si="1"/>
        <v>434</v>
      </c>
      <c r="H24" s="17">
        <f t="shared" ca="1" si="0"/>
        <v>618</v>
      </c>
      <c r="I24" s="9" t="s">
        <v>14</v>
      </c>
      <c r="J24" s="11" t="s">
        <v>44</v>
      </c>
      <c r="K24" s="12" t="s">
        <v>16</v>
      </c>
      <c r="L24" s="14" t="s">
        <v>25</v>
      </c>
    </row>
    <row r="25" spans="1:12" ht="15.75" thickBot="1" x14ac:dyDescent="0.3">
      <c r="A25" s="15"/>
      <c r="B25" s="16"/>
      <c r="C25" s="16"/>
      <c r="D25" s="17" t="s">
        <v>46</v>
      </c>
      <c r="E25" s="16" t="s">
        <v>13</v>
      </c>
      <c r="F25" s="18">
        <v>45992</v>
      </c>
      <c r="G25" s="17">
        <f t="shared" ca="1" si="1"/>
        <v>355</v>
      </c>
      <c r="H25" s="17">
        <f t="shared" ca="1" si="0"/>
        <v>821</v>
      </c>
      <c r="I25" s="16" t="s">
        <v>14</v>
      </c>
      <c r="J25" s="19" t="s">
        <v>50</v>
      </c>
      <c r="K25" s="20" t="s">
        <v>16</v>
      </c>
      <c r="L25" s="21" t="s">
        <v>25</v>
      </c>
    </row>
    <row r="26" spans="1:12" ht="15.75" thickBot="1" x14ac:dyDescent="0.3">
      <c r="A26" s="13"/>
      <c r="B26" s="9"/>
      <c r="C26" s="9"/>
      <c r="D26" s="10" t="s">
        <v>47</v>
      </c>
      <c r="E26" s="9" t="s">
        <v>13</v>
      </c>
      <c r="F26" s="18">
        <v>45992</v>
      </c>
      <c r="G26" s="17">
        <f t="shared" ca="1" si="1"/>
        <v>433</v>
      </c>
      <c r="H26" s="17">
        <f t="shared" ca="1" si="0"/>
        <v>768</v>
      </c>
      <c r="I26" s="9" t="s">
        <v>14</v>
      </c>
      <c r="J26" s="11" t="s">
        <v>50</v>
      </c>
      <c r="K26" s="12" t="s">
        <v>16</v>
      </c>
      <c r="L26" s="14" t="s">
        <v>25</v>
      </c>
    </row>
    <row r="27" spans="1:12" ht="15.75" thickBot="1" x14ac:dyDescent="0.3">
      <c r="A27" s="22"/>
      <c r="B27" s="23"/>
      <c r="C27" s="23"/>
      <c r="D27" s="24" t="s">
        <v>48</v>
      </c>
      <c r="E27" s="23" t="s">
        <v>13</v>
      </c>
      <c r="F27" s="18">
        <v>45992</v>
      </c>
      <c r="G27" s="17">
        <f t="shared" ca="1" si="1"/>
        <v>90</v>
      </c>
      <c r="H27" s="17">
        <f t="shared" ca="1" si="0"/>
        <v>314</v>
      </c>
      <c r="I27" s="23" t="s">
        <v>14</v>
      </c>
      <c r="J27" s="25" t="s">
        <v>50</v>
      </c>
      <c r="K27" s="26" t="s">
        <v>16</v>
      </c>
      <c r="L27" s="27" t="s">
        <v>25</v>
      </c>
    </row>
  </sheetData>
  <autoFilter ref="A1:L27" xr:uid="{92B6B98A-7F09-42C5-B55D-9292B0752347}">
    <sortState xmlns:xlrd2="http://schemas.microsoft.com/office/spreadsheetml/2017/richdata2" ref="A2:L27">
      <sortCondition ref="D1:D27"/>
    </sortState>
  </autoFilter>
  <dataValidations count="2">
    <dataValidation type="custom" allowBlank="1" showInputMessage="1" showErrorMessage="1" sqref="F1" xr:uid="{8F18CE6B-17D2-4912-B03E-831EE9F43988}">
      <formula1>AND(DAY(A1)=1,ISNUMBER(A1))</formula1>
    </dataValidation>
    <dataValidation type="custom" allowBlank="1" showInputMessage="1" showErrorMessage="1" sqref="F2:F27" xr:uid="{372DFFCC-67E6-4315-9320-3EE35E6DECD1}">
      <formula1>AND(DAY(F2)=1,ISNUMBER(F2))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3EB41F-B27C-447F-B44C-6EA443BC9D99}">
          <x14:formula1>
            <xm:f>Specialties!$A:$A</xm:f>
          </x14:formula1>
          <xm:sqref>J2:J27</xm:sqref>
        </x14:dataValidation>
        <x14:dataValidation type="list" allowBlank="1" showInputMessage="1" showErrorMessage="1" xr:uid="{DDE051FB-C704-4E41-B1BE-ACC9D9B1040B}">
          <x14:formula1>
            <xm:f>Sources!$A:$A</xm:f>
          </x14:formula1>
          <xm:sqref>K2:K27</xm:sqref>
        </x14:dataValidation>
        <x14:dataValidation type="list" allowBlank="1" showInputMessage="1" showErrorMessage="1" xr:uid="{DAF00EEF-0DD9-4E31-ACE2-D31A957479D4}">
          <x14:formula1>
            <xm:f>'Indicator Name'!$A:$A</xm:f>
          </x14:formula1>
          <xm:sqref>D2:D27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124A-894E-43F2-8866-22E8410D1677}">
  <dimension ref="A1:A30"/>
  <sheetViews>
    <sheetView topLeftCell="A3" workbookViewId="0">
      <selection activeCell="A31" sqref="A31"/>
    </sheetView>
  </sheetViews>
  <sheetFormatPr defaultRowHeight="15" x14ac:dyDescent="0.25"/>
  <cols>
    <col min="1" max="1" width="71.85546875" bestFit="1" customWidth="1"/>
  </cols>
  <sheetData>
    <row r="1" spans="1:1" x14ac:dyDescent="0.25">
      <c r="A1" s="4" t="s">
        <v>53</v>
      </c>
    </row>
    <row r="2" spans="1:1" x14ac:dyDescent="0.25">
      <c r="A2" s="5" t="s">
        <v>35</v>
      </c>
    </row>
    <row r="3" spans="1:1" x14ac:dyDescent="0.25">
      <c r="A3" s="5" t="s">
        <v>19</v>
      </c>
    </row>
    <row r="4" spans="1:1" x14ac:dyDescent="0.25">
      <c r="A4" s="5" t="s">
        <v>36</v>
      </c>
    </row>
    <row r="5" spans="1:1" x14ac:dyDescent="0.25">
      <c r="A5" s="5" t="s">
        <v>54</v>
      </c>
    </row>
    <row r="6" spans="1:1" x14ac:dyDescent="0.25">
      <c r="A6" s="5" t="s">
        <v>23</v>
      </c>
    </row>
    <row r="7" spans="1:1" x14ac:dyDescent="0.25">
      <c r="A7" s="5" t="s">
        <v>26</v>
      </c>
    </row>
    <row r="8" spans="1:1" x14ac:dyDescent="0.25">
      <c r="A8" s="5" t="s">
        <v>28</v>
      </c>
    </row>
    <row r="9" spans="1:1" x14ac:dyDescent="0.25">
      <c r="A9" s="5" t="s">
        <v>27</v>
      </c>
    </row>
    <row r="10" spans="1:1" x14ac:dyDescent="0.25">
      <c r="A10" s="5" t="s">
        <v>29</v>
      </c>
    </row>
    <row r="11" spans="1:1" x14ac:dyDescent="0.25">
      <c r="A11" s="5" t="s">
        <v>30</v>
      </c>
    </row>
    <row r="12" spans="1:1" x14ac:dyDescent="0.25">
      <c r="A12" s="5" t="s">
        <v>39</v>
      </c>
    </row>
    <row r="13" spans="1:1" x14ac:dyDescent="0.25">
      <c r="A13" s="5" t="s">
        <v>41</v>
      </c>
    </row>
    <row r="14" spans="1:1" x14ac:dyDescent="0.25">
      <c r="A14" s="5" t="s">
        <v>33</v>
      </c>
    </row>
    <row r="15" spans="1:1" x14ac:dyDescent="0.25">
      <c r="A15" s="5" t="s">
        <v>52</v>
      </c>
    </row>
    <row r="16" spans="1:1" x14ac:dyDescent="0.25">
      <c r="A16" s="5" t="s">
        <v>55</v>
      </c>
    </row>
    <row r="17" spans="1:1" x14ac:dyDescent="0.25">
      <c r="A17" s="5" t="s">
        <v>42</v>
      </c>
    </row>
    <row r="18" spans="1:1" x14ac:dyDescent="0.25">
      <c r="A18" s="5" t="s">
        <v>22</v>
      </c>
    </row>
    <row r="19" spans="1:1" x14ac:dyDescent="0.25">
      <c r="A19" s="5" t="s">
        <v>31</v>
      </c>
    </row>
    <row r="20" spans="1:1" x14ac:dyDescent="0.25">
      <c r="A20" s="5" t="s">
        <v>17</v>
      </c>
    </row>
    <row r="21" spans="1:1" x14ac:dyDescent="0.25">
      <c r="A21" s="5" t="s">
        <v>18</v>
      </c>
    </row>
    <row r="22" spans="1:1" x14ac:dyDescent="0.25">
      <c r="A22" s="5" t="s">
        <v>38</v>
      </c>
    </row>
    <row r="23" spans="1:1" x14ac:dyDescent="0.25">
      <c r="A23" s="5" t="s">
        <v>12</v>
      </c>
    </row>
    <row r="24" spans="1:1" x14ac:dyDescent="0.25">
      <c r="A24" s="5" t="s">
        <v>34</v>
      </c>
    </row>
    <row r="25" spans="1:1" x14ac:dyDescent="0.25">
      <c r="A25" s="6" t="s">
        <v>51</v>
      </c>
    </row>
    <row r="26" spans="1:1" x14ac:dyDescent="0.25">
      <c r="A26" s="6" t="s">
        <v>45</v>
      </c>
    </row>
    <row r="27" spans="1:1" x14ac:dyDescent="0.25">
      <c r="A27" s="6" t="s">
        <v>46</v>
      </c>
    </row>
    <row r="28" spans="1:1" x14ac:dyDescent="0.25">
      <c r="A28" s="6" t="s">
        <v>47</v>
      </c>
    </row>
    <row r="29" spans="1:1" x14ac:dyDescent="0.25">
      <c r="A29" s="6" t="s">
        <v>48</v>
      </c>
    </row>
    <row r="30" spans="1:1" ht="15.75" thickBot="1" x14ac:dyDescent="0.3">
      <c r="A30" s="7" t="s">
        <v>57</v>
      </c>
    </row>
  </sheetData>
  <sortState xmlns:xlrd2="http://schemas.microsoft.com/office/spreadsheetml/2017/richdata2" ref="A1:A51">
    <sortCondition ref="A1:A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0D33-9038-44B6-97D7-D8100DA945B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7FF4-2C45-4DA8-A58F-ACBAFE35E084}">
  <dimension ref="A1:A11"/>
  <sheetViews>
    <sheetView workbookViewId="0">
      <selection activeCell="B14" sqref="B14"/>
    </sheetView>
  </sheetViews>
  <sheetFormatPr defaultRowHeight="15" x14ac:dyDescent="0.25"/>
  <cols>
    <col min="1" max="1" width="22.85546875" bestFit="1" customWidth="1"/>
  </cols>
  <sheetData>
    <row r="1" spans="1:1" x14ac:dyDescent="0.25">
      <c r="A1" t="s">
        <v>15</v>
      </c>
    </row>
    <row r="2" spans="1:1" x14ac:dyDescent="0.25">
      <c r="A2" s="8" t="s">
        <v>56</v>
      </c>
    </row>
    <row r="3" spans="1:1" x14ac:dyDescent="0.25">
      <c r="A3" t="s">
        <v>43</v>
      </c>
    </row>
    <row r="4" spans="1:1" x14ac:dyDescent="0.25">
      <c r="A4" t="s">
        <v>40</v>
      </c>
    </row>
    <row r="5" spans="1:1" x14ac:dyDescent="0.25">
      <c r="A5" t="s">
        <v>32</v>
      </c>
    </row>
    <row r="6" spans="1:1" x14ac:dyDescent="0.25">
      <c r="A6" t="s">
        <v>44</v>
      </c>
    </row>
    <row r="7" spans="1:1" x14ac:dyDescent="0.25">
      <c r="A7" t="s">
        <v>50</v>
      </c>
    </row>
    <row r="8" spans="1:1" x14ac:dyDescent="0.25">
      <c r="A8" t="s">
        <v>20</v>
      </c>
    </row>
    <row r="9" spans="1:1" x14ac:dyDescent="0.25">
      <c r="A9" t="s">
        <v>49</v>
      </c>
    </row>
    <row r="10" spans="1:1" x14ac:dyDescent="0.25">
      <c r="A10" t="s">
        <v>37</v>
      </c>
    </row>
    <row r="11" spans="1:1" x14ac:dyDescent="0.25">
      <c r="A11" t="s">
        <v>24</v>
      </c>
    </row>
  </sheetData>
  <sortState xmlns:xlrd2="http://schemas.microsoft.com/office/spreadsheetml/2017/richdata2" ref="A2:A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Indicator Name</vt:lpstr>
      <vt:lpstr>Sources</vt:lpstr>
      <vt:lpstr>Specialties</vt:lpstr>
    </vt:vector>
  </TitlesOfParts>
  <Company>Mid Mersey Digital Alliance 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Todd</dc:creator>
  <cp:lastModifiedBy>Tom Bennett3</cp:lastModifiedBy>
  <dcterms:created xsi:type="dcterms:W3CDTF">2025-10-10T13:32:23Z</dcterms:created>
  <dcterms:modified xsi:type="dcterms:W3CDTF">2026-01-14T13:00:32Z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